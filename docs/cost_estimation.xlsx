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cenario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0.000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164" fontId="3" fillId="0" borderId="0" pivotButton="0" quotePrefix="0" xfId="0"/>
    <xf numFmtId="9" fontId="3" fillId="0" borderId="0" pivotButton="0" quotePrefix="0" xfId="0"/>
    <xf numFmtId="0" fontId="2" fillId="2" borderId="0" applyAlignment="1" pivotButton="0" quotePrefix="0" xfId="0">
      <alignment vertical="center" wrapText="1"/>
    </xf>
    <xf numFmtId="3" fontId="3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Cost assumptions (USD per 1,000,000 tokens)</t>
        </is>
      </c>
    </row>
    <row r="2">
      <c r="A2" t="inlineStr">
        <is>
          <t>Blue cells are inputs. Gemini paid-tier prices checked on 20 Oct 2026 (ai.google.dev/gemini-api/docs/pricing). The free tier costs 0.</t>
        </is>
      </c>
    </row>
    <row r="4">
      <c r="A4" s="2" t="inlineStr">
        <is>
          <t>Role</t>
        </is>
      </c>
      <c r="B4" s="2" t="inlineStr">
        <is>
          <t>Model</t>
        </is>
      </c>
      <c r="C4" s="2" t="inlineStr">
        <is>
          <t>Input price</t>
        </is>
      </c>
      <c r="D4" s="2" t="inlineStr">
        <is>
          <t>Output price</t>
        </is>
      </c>
    </row>
    <row r="5">
      <c r="A5" t="inlineStr">
        <is>
          <t>Primary</t>
        </is>
      </c>
      <c r="B5" s="3" t="inlineStr">
        <is>
          <t>gemini-3.6-flash</t>
        </is>
      </c>
      <c r="C5" s="4" t="n">
        <v>0.75</v>
      </c>
      <c r="D5" s="4" t="n">
        <v>3.75</v>
      </c>
    </row>
    <row r="6">
      <c r="A6" t="inlineStr">
        <is>
          <t>Fallback</t>
        </is>
      </c>
      <c r="B6" s="3" t="inlineStr">
        <is>
          <t>gemini-3.5-flash-lite</t>
        </is>
      </c>
      <c r="C6" s="4" t="n">
        <v>0.3</v>
      </c>
      <c r="D6" s="4" t="n">
        <v>2.5</v>
      </c>
    </row>
    <row r="8">
      <c r="A8" t="inlineStr">
        <is>
          <t>Share of traffic served by fallback</t>
        </is>
      </c>
      <c r="B8" s="5" t="n">
        <v>0.05</v>
      </c>
    </row>
    <row r="9">
      <c r="A9" t="inlineStr">
        <is>
          <t>Average input tokens per request</t>
        </is>
      </c>
      <c r="B9" s="3" t="n">
        <v>55</v>
      </c>
    </row>
    <row r="10">
      <c r="A10" t="inlineStr">
        <is>
          <t>Average output tokens per request</t>
        </is>
      </c>
      <c r="B10" s="3" t="n">
        <v>120</v>
      </c>
    </row>
    <row r="11">
      <c r="A11" t="inlineStr">
        <is>
          <t>Days per month</t>
        </is>
      </c>
      <c r="B11" s="3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Monthly cost scenarios</t>
        </is>
      </c>
    </row>
    <row r="3" ht="32" customHeight="1">
      <c r="A3" s="6" t="inlineStr">
        <is>
          <t>Scenario</t>
        </is>
      </c>
      <c r="B3" s="6" t="inlineStr">
        <is>
          <t>Requests per day</t>
        </is>
      </c>
      <c r="C3" s="6" t="inlineStr">
        <is>
          <t>Primary cost / request</t>
        </is>
      </c>
      <c r="D3" s="6" t="inlineStr">
        <is>
          <t>Fallback cost / request</t>
        </is>
      </c>
      <c r="E3" s="6" t="inlineStr">
        <is>
          <t>Blended cost / request</t>
        </is>
      </c>
      <c r="F3" s="6" t="inlineStr">
        <is>
          <t>Cost / day</t>
        </is>
      </c>
      <c r="G3" s="6" t="inlineStr">
        <is>
          <t>Cost / month</t>
        </is>
      </c>
    </row>
    <row r="4">
      <c r="A4" t="inlineStr">
        <is>
          <t>Pilot</t>
        </is>
      </c>
      <c r="B4" s="7" t="n">
        <v>100</v>
      </c>
      <c r="C4" s="8">
        <f>(Assumptions!$B$9*Assumptions!$C$5+Assumptions!$B$10*Assumptions!$D$5)/1000000</f>
        <v/>
      </c>
      <c r="D4" s="8">
        <f>(Assumptions!$B$9*Assumptions!$C$6+Assumptions!$B$10*Assumptions!$D$6)/1000000</f>
        <v/>
      </c>
      <c r="E4" s="8">
        <f>(1-Assumptions!$B$8)*C4+Assumptions!$B$8*D4</f>
        <v/>
      </c>
      <c r="F4" s="9">
        <f>B4*E4</f>
        <v/>
      </c>
      <c r="G4" s="9">
        <f>F4*Assumptions!$B$11</f>
        <v/>
      </c>
    </row>
    <row r="5">
      <c r="A5" t="inlineStr">
        <is>
          <t>Small team</t>
        </is>
      </c>
      <c r="B5" s="7" t="n">
        <v>1000</v>
      </c>
      <c r="C5" s="8">
        <f>(Assumptions!$B$9*Assumptions!$C$5+Assumptions!$B$10*Assumptions!$D$5)/1000000</f>
        <v/>
      </c>
      <c r="D5" s="8">
        <f>(Assumptions!$B$9*Assumptions!$C$6+Assumptions!$B$10*Assumptions!$D$6)/1000000</f>
        <v/>
      </c>
      <c r="E5" s="8">
        <f>(1-Assumptions!$B$8)*C5+Assumptions!$B$8*D5</f>
        <v/>
      </c>
      <c r="F5" s="9">
        <f>B5*E5</f>
        <v/>
      </c>
      <c r="G5" s="9">
        <f>F5*Assumptions!$B$11</f>
        <v/>
      </c>
    </row>
    <row r="6">
      <c r="A6" t="inlineStr">
        <is>
          <t>Busy product</t>
        </is>
      </c>
      <c r="B6" s="7" t="n">
        <v>10000</v>
      </c>
      <c r="C6" s="8">
        <f>(Assumptions!$B$9*Assumptions!$C$5+Assumptions!$B$10*Assumptions!$D$5)/1000000</f>
        <v/>
      </c>
      <c r="D6" s="8">
        <f>(Assumptions!$B$9*Assumptions!$C$6+Assumptions!$B$10*Assumptions!$D$6)/1000000</f>
        <v/>
      </c>
      <c r="E6" s="8">
        <f>(1-Assumptions!$B$8)*C6+Assumptions!$B$8*D6</f>
        <v/>
      </c>
      <c r="F6" s="9">
        <f>B6*E6</f>
        <v/>
      </c>
      <c r="G6" s="9">
        <f>F6*Assumptions!$B$11</f>
        <v/>
      </c>
    </row>
    <row r="7">
      <c r="A7" t="inlineStr">
        <is>
          <t>Large</t>
        </is>
      </c>
      <c r="B7" s="7" t="n">
        <v>100000</v>
      </c>
      <c r="C7" s="8">
        <f>(Assumptions!$B$9*Assumptions!$C$5+Assumptions!$B$10*Assumptions!$D$5)/1000000</f>
        <v/>
      </c>
      <c r="D7" s="8">
        <f>(Assumptions!$B$9*Assumptions!$C$6+Assumptions!$B$10*Assumptions!$D$6)/1000000</f>
        <v/>
      </c>
      <c r="E7" s="8">
        <f>(1-Assumptions!$B$8)*C7+Assumptions!$B$8*D7</f>
        <v/>
      </c>
      <c r="F7" s="9">
        <f>B7*E7</f>
        <v/>
      </c>
      <c r="G7" s="9">
        <f>F7*Assumptions!$B$11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t="inlineStr">
        <is>
          <t>How the API estimates cost per request:</t>
        </is>
      </c>
    </row>
    <row r="2">
      <c r="A2" t="inlineStr">
        <is>
          <t>cost = (input_tokens x input_price + output_tokens x output_price) / 1,000,000</t>
        </is>
      </c>
    </row>
    <row r="3">
      <c r="A3" t="inlineStr">
        <is>
          <t>The app logs the real token usage from each response in logs/usage_log.csv, so you can compare estimates to actuals.</t>
        </is>
      </c>
    </row>
    <row r="4">
      <c r="A4" t="inlineStr">
        <is>
          <t>Failed attempts return no usage data, so they are not in the logged cost. Timeouts may still be billed by the provider.</t>
        </is>
      </c>
    </row>
    <row r="5">
      <c r="A5" t="inlineStr">
        <is>
          <t>Prices checked on 20 Oct 2026 from Google's pricing page. The gemini-3.6-flash price rises on 1 Jan 2027 to 1.50 input and 7.50 output per million tokens.</t>
        </is>
      </c>
    </row>
    <row r="6">
      <c r="A6" t="inlineStr">
        <is>
          <t>Output prices include thinking tokens, but the API's reported output_tokens appeared to leave them out in testing, so real paid-tier costs may be higher than estimated.</t>
        </is>
      </c>
    </row>
    <row r="7">
      <c r="A7" t="inlineStr">
        <is>
          <t>Average tokens (55 in, 120 out) come from the observed usage log of the support questions used in testing.</t>
        </is>
      </c>
    </row>
    <row r="8">
      <c r="A8" t="inlineStr">
        <is>
          <t>The free tier costs 0 but is rate limited and its content may be used by Google to improve its products.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2026-10-20T10:30:18Z</dcterms:created>
  <dcterms:modified xmlns:dcterms="http://purl.org/dc/terms/" xmlns:xsi="http://www.w3.org/2001/XMLSchema-instance" xsi:type="dcterms:W3CDTF">2026-10-20T10:30:18Z</dcterms:modified>
</cp:coreProperties>
</file>